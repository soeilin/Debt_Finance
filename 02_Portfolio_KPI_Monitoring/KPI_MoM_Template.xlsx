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llowups\0.思维导图\4.Fin\2.GitHub\Debt\02_Portfolio KPI Monitoring\"/>
    </mc:Choice>
  </mc:AlternateContent>
  <xr:revisionPtr revIDLastSave="0" documentId="13_ncr:1_{35CF3E4A-9651-4CCF-A311-2B0EE451AF24}" xr6:coauthVersionLast="47" xr6:coauthVersionMax="47" xr10:uidLastSave="{00000000-0000-0000-0000-000000000000}"/>
  <bookViews>
    <workbookView xWindow="38280" yWindow="-120" windowWidth="29040" windowHeight="15720" activeTab="2" xr2:uid="{CC50DFF0-3D74-4725-9027-46431DE2FFE5}"/>
  </bookViews>
  <sheets>
    <sheet name="raw data" sheetId="1" r:id="rId1"/>
    <sheet name="master" sheetId="2" r:id="rId2"/>
    <sheet name="MOM risk movement" sheetId="4" r:id="rId3"/>
    <sheet name="dictionary" sheetId="5" r:id="rId4"/>
  </sheets>
  <definedNames>
    <definedName name="_xlnm._FilterDatabase" localSheetId="1" hidden="1">master!$A$1:$O$1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2" i="2"/>
  <c r="F2" i="2"/>
  <c r="F3" i="2"/>
  <c r="F4" i="2"/>
  <c r="F5" i="2"/>
  <c r="F6" i="2"/>
  <c r="F7" i="2"/>
  <c r="F8" i="2"/>
  <c r="F9" i="2"/>
  <c r="F10" i="2"/>
  <c r="F11" i="2"/>
  <c r="F12" i="2"/>
  <c r="F13" i="2"/>
  <c r="N3" i="2"/>
  <c r="N4" i="2"/>
  <c r="N5" i="2"/>
  <c r="N6" i="2"/>
  <c r="N7" i="2"/>
  <c r="N8" i="2"/>
  <c r="N9" i="2"/>
  <c r="N10" i="2"/>
  <c r="N11" i="2"/>
  <c r="N12" i="2"/>
  <c r="O12" i="2" s="1"/>
  <c r="N13" i="2"/>
  <c r="N2" i="2"/>
  <c r="L3" i="2"/>
  <c r="L4" i="2"/>
  <c r="L5" i="2"/>
  <c r="L6" i="2"/>
  <c r="M6" i="2" s="1"/>
  <c r="L7" i="2"/>
  <c r="M7" i="2" s="1"/>
  <c r="L8" i="2"/>
  <c r="L9" i="2"/>
  <c r="L10" i="2"/>
  <c r="L11" i="2"/>
  <c r="L12" i="2"/>
  <c r="L13" i="2"/>
  <c r="L2" i="2"/>
  <c r="J3" i="2"/>
  <c r="J4" i="2"/>
  <c r="J5" i="2"/>
  <c r="J6" i="2"/>
  <c r="J7" i="2"/>
  <c r="J8" i="2"/>
  <c r="J9" i="2"/>
  <c r="J10" i="2"/>
  <c r="J11" i="2"/>
  <c r="K11" i="2" s="1"/>
  <c r="J12" i="2"/>
  <c r="J13" i="2"/>
  <c r="J2" i="2"/>
  <c r="D3" i="2"/>
  <c r="D4" i="2"/>
  <c r="D5" i="2"/>
  <c r="D6" i="2"/>
  <c r="D7" i="2"/>
  <c r="D8" i="2"/>
  <c r="E8" i="2" s="1"/>
  <c r="D9" i="2"/>
  <c r="D10" i="2"/>
  <c r="D11" i="2"/>
  <c r="D12" i="2"/>
  <c r="D13" i="2"/>
  <c r="D2" i="2"/>
  <c r="B3" i="2"/>
  <c r="B4" i="2"/>
  <c r="B5" i="2"/>
  <c r="B6" i="2"/>
  <c r="B7" i="2"/>
  <c r="B8" i="2"/>
  <c r="B9" i="2"/>
  <c r="B10" i="2"/>
  <c r="B11" i="2"/>
  <c r="B12" i="2"/>
  <c r="C12" i="2" s="1"/>
  <c r="B13" i="2"/>
  <c r="G12" i="2" l="1"/>
  <c r="C13" i="2"/>
  <c r="G6" i="2"/>
  <c r="G13" i="2"/>
  <c r="E11" i="2"/>
  <c r="G9" i="2"/>
  <c r="G5" i="2"/>
  <c r="G3" i="2"/>
  <c r="K6" i="2"/>
  <c r="G10" i="2"/>
  <c r="G7" i="2"/>
  <c r="C6" i="2"/>
  <c r="E6" i="2"/>
  <c r="G8" i="2"/>
  <c r="C9" i="2"/>
  <c r="M12" i="2"/>
  <c r="E12" i="2"/>
  <c r="M10" i="2"/>
  <c r="O4" i="2"/>
  <c r="G4" i="2"/>
  <c r="G11" i="2"/>
  <c r="E7" i="2"/>
  <c r="O13" i="2"/>
  <c r="C5" i="2"/>
  <c r="O9" i="2"/>
  <c r="K4" i="2"/>
  <c r="C7" i="2"/>
  <c r="M13" i="2"/>
  <c r="E10" i="2"/>
  <c r="E5" i="2"/>
  <c r="K12" i="2"/>
  <c r="M8" i="2"/>
  <c r="C10" i="2"/>
  <c r="E13" i="2"/>
  <c r="E9" i="2"/>
  <c r="C4" i="2"/>
  <c r="M11" i="2"/>
  <c r="O8" i="2"/>
  <c r="K5" i="2"/>
  <c r="K13" i="2"/>
  <c r="M9" i="2"/>
  <c r="O6" i="2"/>
  <c r="K10" i="2"/>
  <c r="M5" i="2"/>
  <c r="C8" i="2"/>
  <c r="O11" i="2"/>
  <c r="K9" i="2"/>
  <c r="K7" i="2"/>
  <c r="M4" i="2"/>
  <c r="O5" i="2"/>
  <c r="E3" i="2"/>
  <c r="M3" i="2"/>
  <c r="E4" i="2"/>
  <c r="O3" i="2"/>
  <c r="K3" i="2"/>
  <c r="K8" i="2"/>
  <c r="O10" i="2"/>
  <c r="O7" i="2"/>
  <c r="B2" i="2"/>
  <c r="C3" i="2" s="1"/>
  <c r="A2" i="2"/>
  <c r="A3" i="1"/>
  <c r="A4" i="1" s="1"/>
  <c r="C11" i="2" l="1"/>
  <c r="A5" i="1"/>
  <c r="A4" i="2"/>
  <c r="A3" i="2"/>
  <c r="A6" i="1" l="1"/>
  <c r="A5" i="2"/>
  <c r="A7" i="1" l="1"/>
  <c r="A6" i="2"/>
  <c r="A8" i="1" l="1"/>
  <c r="A7" i="2"/>
  <c r="A9" i="1" l="1"/>
  <c r="A8" i="2"/>
  <c r="A10" i="1" l="1"/>
  <c r="A9" i="2"/>
  <c r="A11" i="1" l="1"/>
  <c r="A10" i="2"/>
  <c r="A12" i="1" l="1"/>
  <c r="A11" i="2"/>
  <c r="A13" i="1" l="1"/>
  <c r="A13" i="2" s="1"/>
  <c r="A12" i="2"/>
</calcChain>
</file>

<file path=xl/sharedStrings.xml><?xml version="1.0" encoding="utf-8"?>
<sst xmlns="http://schemas.openxmlformats.org/spreadsheetml/2006/main" count="44" uniqueCount="34">
  <si>
    <t>Month</t>
  </si>
  <si>
    <t>Applications</t>
  </si>
  <si>
    <t>Approvals</t>
  </si>
  <si>
    <t>Declines</t>
  </si>
  <si>
    <t>Approval_Rate</t>
  </si>
  <si>
    <t>Balances</t>
  </si>
  <si>
    <t>Limits</t>
  </si>
  <si>
    <t>DPD1</t>
  </si>
  <si>
    <t>DPD30</t>
  </si>
  <si>
    <t>New30+</t>
  </si>
  <si>
    <t>Month</t>
    <phoneticPr fontId="5" type="noConversion"/>
  </si>
  <si>
    <t>Bad_Rate_MoM</t>
  </si>
  <si>
    <t>Early_Arrears_MoM</t>
  </si>
  <si>
    <t>Approval_Rate_MoM</t>
  </si>
  <si>
    <t>Utilisation</t>
  </si>
  <si>
    <t>Utilisation_MoM</t>
  </si>
  <si>
    <t>Vintage_Bad_MoM</t>
  </si>
  <si>
    <t>Early_Arrears (1+)</t>
    <phoneticPr fontId="2" type="noConversion"/>
  </si>
  <si>
    <t>Vintage_Bad (new 30+)</t>
    <phoneticPr fontId="2" type="noConversion"/>
  </si>
  <si>
    <t>Late_Arrears (30+)</t>
    <phoneticPr fontId="2" type="noConversion"/>
  </si>
  <si>
    <t>Bad_Rate (DPD30)</t>
    <phoneticPr fontId="2" type="noConversion"/>
  </si>
  <si>
    <t>Field</t>
  </si>
  <si>
    <t>Description</t>
  </si>
  <si>
    <t>Credit applications received</t>
  </si>
  <si>
    <t>Approved accounts</t>
  </si>
  <si>
    <t>Declined accounts</t>
  </si>
  <si>
    <t>Total outstanding balances</t>
  </si>
  <si>
    <t>Total credit limits</t>
  </si>
  <si>
    <t>1+ day arrears (early arrears)</t>
  </si>
  <si>
    <t>30+ day arrears (bad-rate driver)</t>
  </si>
  <si>
    <t>Newly flowed accounts into 30+ bucket</t>
  </si>
  <si>
    <t>MM-YYYY</t>
    <phoneticPr fontId="2" type="noConversion"/>
  </si>
  <si>
    <t>Flow_Through</t>
    <phoneticPr fontId="2" type="noConversion"/>
  </si>
  <si>
    <t>Cure_Rate (DPD1+)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</si>
</sst>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%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>
      <alignment vertical="center"/>
    </xf>
    <xf numFmtId="184" fontId="3" fillId="0" borderId="1" xfId="1" applyNumberFormat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184" fontId="3" fillId="0" borderId="1" xfId="1" applyNumberFormat="1" applyFont="1" applyFill="1" applyBorder="1">
      <alignment vertical="center"/>
    </xf>
  </cellXfs>
  <cellStyles count="2">
    <cellStyle name="百分比" xfId="1" builtinId="5"/>
    <cellStyle name="常规" xfId="0" builtinId="0"/>
  </cellStyles>
  <dxfs count="67"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 sz="1400" b="0" i="0" u="none" strike="noStrike" baseline="0"/>
              <a:t>Early Arrears</a:t>
            </a:r>
            <a:r>
              <a:rPr lang="zh-CN" altLang="en-US" sz="1400" b="0" i="0" u="none" strike="noStrike" baseline="0"/>
              <a:t> </a:t>
            </a:r>
            <a:r>
              <a:rPr lang="en-US" altLang="zh-CN" sz="1400" b="0" i="0" u="none" strike="noStrike" baseline="0"/>
              <a:t>(</a:t>
            </a:r>
            <a:r>
              <a:rPr lang="en-NZ" altLang="zh-CN" sz="1400" b="0" i="0" u="none" strike="noStrike" baseline="0"/>
              <a:t>DPD1</a:t>
            </a:r>
            <a:r>
              <a:rPr lang="en-US" altLang="zh-CN" sz="1400" b="0" i="0" u="none" strike="noStrike" baseline="0"/>
              <a:t>) </a:t>
            </a:r>
            <a:r>
              <a:rPr lang="zh-CN" altLang="en-NZ" sz="1400" b="0" i="0" u="none" strike="noStrike" baseline="0"/>
              <a:t> </a:t>
            </a:r>
            <a:r>
              <a:rPr lang="en-NZ" altLang="zh-CN" sz="1400" b="0" i="0" u="none" strike="noStrike" baseline="0"/>
              <a:t>vs Bad Rate (DPD30)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master!$B$1</c:f>
              <c:strCache>
                <c:ptCount val="1"/>
                <c:pt idx="0">
                  <c:v>Bad_Rate (DPD30)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master!$B$2:$B$13</c:f>
              <c:numCache>
                <c:formatCode>0.000%</c:formatCode>
                <c:ptCount val="12"/>
                <c:pt idx="0">
                  <c:v>2.2138680033416874E-2</c:v>
                </c:pt>
                <c:pt idx="1">
                  <c:v>2.7105517909002903E-2</c:v>
                </c:pt>
                <c:pt idx="2">
                  <c:v>1.9151138716356108E-2</c:v>
                </c:pt>
                <c:pt idx="3">
                  <c:v>2.1323127392017496E-2</c:v>
                </c:pt>
                <c:pt idx="4">
                  <c:v>1.5329125338142471E-2</c:v>
                </c:pt>
                <c:pt idx="5">
                  <c:v>1.9978969505783387E-2</c:v>
                </c:pt>
                <c:pt idx="6">
                  <c:v>2.5245441795231416E-2</c:v>
                </c:pt>
                <c:pt idx="7">
                  <c:v>2.8129395218002812E-2</c:v>
                </c:pt>
                <c:pt idx="8">
                  <c:v>1.8905472636815919E-2</c:v>
                </c:pt>
                <c:pt idx="9">
                  <c:v>2.1943573667711599E-2</c:v>
                </c:pt>
                <c:pt idx="10">
                  <c:v>1.9206145966709345E-2</c:v>
                </c:pt>
                <c:pt idx="11">
                  <c:v>2.7427317608337904E-2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0-4977-BB9B-89284E4C1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661136"/>
        <c:axId val="524015600"/>
      </c:lineChart>
      <c:lineChart>
        <c:grouping val="standard"/>
        <c:varyColors val="0"/>
        <c:ser>
          <c:idx val="1"/>
          <c:order val="1"/>
          <c:tx>
            <c:strRef>
              <c:f>master!$D$1</c:f>
              <c:strCache>
                <c:ptCount val="1"/>
                <c:pt idx="0">
                  <c:v>Early_Arrears (1+)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master!$D$2:$D$13</c:f>
              <c:numCache>
                <c:formatCode>0.000%</c:formatCode>
                <c:ptCount val="12"/>
                <c:pt idx="0">
                  <c:v>6.0568086883876354E-2</c:v>
                </c:pt>
                <c:pt idx="1">
                  <c:v>5.8567279767666992E-2</c:v>
                </c:pt>
                <c:pt idx="2">
                  <c:v>6.2629399585921328E-2</c:v>
                </c:pt>
                <c:pt idx="3">
                  <c:v>5.1940951339529799E-2</c:v>
                </c:pt>
                <c:pt idx="4">
                  <c:v>5.9963931469792606E-2</c:v>
                </c:pt>
                <c:pt idx="5">
                  <c:v>6.7297581493165087E-2</c:v>
                </c:pt>
                <c:pt idx="6">
                  <c:v>7.6671341748480601E-2</c:v>
                </c:pt>
                <c:pt idx="7">
                  <c:v>4.4303797468354431E-2</c:v>
                </c:pt>
                <c:pt idx="8">
                  <c:v>5.9701492537313432E-2</c:v>
                </c:pt>
                <c:pt idx="9">
                  <c:v>4.911180773249739E-2</c:v>
                </c:pt>
                <c:pt idx="10">
                  <c:v>5.7618437900128043E-2</c:v>
                </c:pt>
                <c:pt idx="11">
                  <c:v>7.0213933077345039E-2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0-4977-BB9B-89284E4C1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581008"/>
        <c:axId val="512579568"/>
      </c:lineChart>
      <c:dateAx>
        <c:axId val="5196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015600"/>
        <c:crosses val="autoZero"/>
        <c:auto val="1"/>
        <c:lblOffset val="100"/>
        <c:baseTimeUnit val="months"/>
      </c:dateAx>
      <c:valAx>
        <c:axId val="524015600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661136"/>
        <c:crosses val="autoZero"/>
        <c:crossBetween val="between"/>
      </c:valAx>
      <c:valAx>
        <c:axId val="512579568"/>
        <c:scaling>
          <c:orientation val="minMax"/>
          <c:min val="3.0000000000000006E-2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581008"/>
        <c:crosses val="max"/>
        <c:crossBetween val="between"/>
      </c:valAx>
      <c:catAx>
        <c:axId val="512581008"/>
        <c:scaling>
          <c:orientation val="minMax"/>
        </c:scaling>
        <c:delete val="1"/>
        <c:axPos val="b"/>
        <c:majorTickMark val="out"/>
        <c:minorTickMark val="none"/>
        <c:tickLblPos val="nextTo"/>
        <c:crossAx val="5125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 sz="1400" b="0" i="0" u="none" strike="noStrike" baseline="0"/>
              <a:t>Approval Rate vs Bad Rate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master!$B$1</c:f>
              <c:strCache>
                <c:ptCount val="1"/>
                <c:pt idx="0">
                  <c:v>Bad_Rate (DPD30)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master!$B$2:$B$13</c:f>
              <c:numCache>
                <c:formatCode>0.000%</c:formatCode>
                <c:ptCount val="12"/>
                <c:pt idx="0">
                  <c:v>2.2138680033416874E-2</c:v>
                </c:pt>
                <c:pt idx="1">
                  <c:v>2.7105517909002903E-2</c:v>
                </c:pt>
                <c:pt idx="2">
                  <c:v>1.9151138716356108E-2</c:v>
                </c:pt>
                <c:pt idx="3">
                  <c:v>2.1323127392017496E-2</c:v>
                </c:pt>
                <c:pt idx="4">
                  <c:v>1.5329125338142471E-2</c:v>
                </c:pt>
                <c:pt idx="5">
                  <c:v>1.9978969505783387E-2</c:v>
                </c:pt>
                <c:pt idx="6">
                  <c:v>2.5245441795231416E-2</c:v>
                </c:pt>
                <c:pt idx="7">
                  <c:v>2.8129395218002812E-2</c:v>
                </c:pt>
                <c:pt idx="8">
                  <c:v>1.8905472636815919E-2</c:v>
                </c:pt>
                <c:pt idx="9">
                  <c:v>2.1943573667711599E-2</c:v>
                </c:pt>
                <c:pt idx="10">
                  <c:v>1.9206145966709345E-2</c:v>
                </c:pt>
                <c:pt idx="11">
                  <c:v>2.7427317608337904E-2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2-44BA-A370-BD3026C5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130688"/>
        <c:axId val="1033131168"/>
      </c:lineChart>
      <c:lineChart>
        <c:grouping val="standard"/>
        <c:varyColors val="0"/>
        <c:ser>
          <c:idx val="1"/>
          <c:order val="1"/>
          <c:tx>
            <c:strRef>
              <c:f>master!$J$1</c:f>
              <c:strCache>
                <c:ptCount val="1"/>
                <c:pt idx="0">
                  <c:v>Approval_Rate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master!$J$2:$J$13</c:f>
              <c:numCache>
                <c:formatCode>0.000%</c:formatCode>
                <c:ptCount val="12"/>
                <c:pt idx="0">
                  <c:v>0.79534883720930227</c:v>
                </c:pt>
                <c:pt idx="1">
                  <c:v>0.72111692844677133</c:v>
                </c:pt>
                <c:pt idx="2">
                  <c:v>0.67036780013879249</c:v>
                </c:pt>
                <c:pt idx="3">
                  <c:v>0.64812189936215447</c:v>
                </c:pt>
                <c:pt idx="4">
                  <c:v>0.63589449541284404</c:v>
                </c:pt>
                <c:pt idx="5">
                  <c:v>0.73210161662817552</c:v>
                </c:pt>
                <c:pt idx="6">
                  <c:v>0.65977791486736581</c:v>
                </c:pt>
                <c:pt idx="7">
                  <c:v>0.56495828367103695</c:v>
                </c:pt>
                <c:pt idx="8">
                  <c:v>0.64943457189014542</c:v>
                </c:pt>
                <c:pt idx="9">
                  <c:v>0.73445894090560249</c:v>
                </c:pt>
                <c:pt idx="10">
                  <c:v>0.59550133434998098</c:v>
                </c:pt>
                <c:pt idx="11">
                  <c:v>0.59400456174649718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2-44BA-A370-BD3026C5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85728"/>
        <c:axId val="1308184288"/>
      </c:lineChart>
      <c:dateAx>
        <c:axId val="103313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131168"/>
        <c:crosses val="autoZero"/>
        <c:auto val="1"/>
        <c:lblOffset val="100"/>
        <c:baseTimeUnit val="months"/>
      </c:dateAx>
      <c:valAx>
        <c:axId val="1033131168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130688"/>
        <c:crosses val="autoZero"/>
        <c:crossBetween val="between"/>
      </c:valAx>
      <c:valAx>
        <c:axId val="1308184288"/>
        <c:scaling>
          <c:orientation val="minMax"/>
          <c:min val="0.30000000000000004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185728"/>
        <c:crosses val="max"/>
        <c:crossBetween val="between"/>
      </c:valAx>
      <c:catAx>
        <c:axId val="1308185728"/>
        <c:scaling>
          <c:orientation val="minMax"/>
        </c:scaling>
        <c:delete val="1"/>
        <c:axPos val="b"/>
        <c:majorTickMark val="out"/>
        <c:minorTickMark val="none"/>
        <c:tickLblPos val="nextTo"/>
        <c:crossAx val="1308184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master!$L$1</c:f>
              <c:strCache>
                <c:ptCount val="1"/>
                <c:pt idx="0">
                  <c:v>Utilisation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master!$L$2:$L$13</c:f>
              <c:numCache>
                <c:formatCode>0.000%</c:formatCode>
                <c:ptCount val="12"/>
                <c:pt idx="0">
                  <c:v>0.54068066954930005</c:v>
                </c:pt>
                <c:pt idx="1">
                  <c:v>0.55747414447686217</c:v>
                </c:pt>
                <c:pt idx="2">
                  <c:v>0.47728182629658966</c:v>
                </c:pt>
                <c:pt idx="3">
                  <c:v>0.49840551376059095</c:v>
                </c:pt>
                <c:pt idx="4">
                  <c:v>0.49731405435182752</c:v>
                </c:pt>
                <c:pt idx="5">
                  <c:v>0.58438769102641763</c:v>
                </c:pt>
                <c:pt idx="6">
                  <c:v>0.56511138943865269</c:v>
                </c:pt>
                <c:pt idx="7">
                  <c:v>0.56765515057477234</c:v>
                </c:pt>
                <c:pt idx="8">
                  <c:v>0.57775596430589671</c:v>
                </c:pt>
                <c:pt idx="9">
                  <c:v>0.48639402437177126</c:v>
                </c:pt>
                <c:pt idx="10">
                  <c:v>0.49996214101415604</c:v>
                </c:pt>
                <c:pt idx="11">
                  <c:v>0.5057244632404837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5-4656-91BC-5B7F194D6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65600"/>
        <c:axId val="121766080"/>
      </c:lineChart>
      <c:dateAx>
        <c:axId val="121765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766080"/>
        <c:crosses val="autoZero"/>
        <c:auto val="1"/>
        <c:lblOffset val="100"/>
        <c:baseTimeUnit val="months"/>
      </c:dateAx>
      <c:valAx>
        <c:axId val="121766080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7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master!$N$1</c:f>
              <c:strCache>
                <c:ptCount val="1"/>
                <c:pt idx="0">
                  <c:v>Vintage_Bad (new 30+)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master!$N$2:$N$13</c:f>
              <c:numCache>
                <c:formatCode>0.000%</c:formatCode>
                <c:ptCount val="12"/>
                <c:pt idx="0">
                  <c:v>7.9365079365079361E-3</c:v>
                </c:pt>
                <c:pt idx="1">
                  <c:v>1.1132623426911906E-2</c:v>
                </c:pt>
                <c:pt idx="2">
                  <c:v>6.2111801242236021E-3</c:v>
                </c:pt>
                <c:pt idx="3">
                  <c:v>7.654455986878075E-3</c:v>
                </c:pt>
                <c:pt idx="4">
                  <c:v>7.2137060414788094E-3</c:v>
                </c:pt>
                <c:pt idx="5">
                  <c:v>6.8349106203995794E-3</c:v>
                </c:pt>
                <c:pt idx="6">
                  <c:v>1.0285179990649837E-2</c:v>
                </c:pt>
                <c:pt idx="7">
                  <c:v>9.8452883263009851E-3</c:v>
                </c:pt>
                <c:pt idx="8">
                  <c:v>7.462686567164179E-3</c:v>
                </c:pt>
                <c:pt idx="9">
                  <c:v>7.3145245559038665E-3</c:v>
                </c:pt>
                <c:pt idx="10">
                  <c:v>9.6030729833546727E-3</c:v>
                </c:pt>
                <c:pt idx="11">
                  <c:v>1.3713658804168952E-2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F-4334-85F4-C2317E6E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996640"/>
        <c:axId val="1040997120"/>
      </c:lineChart>
      <c:dateAx>
        <c:axId val="1040996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97120"/>
        <c:crosses val="autoZero"/>
        <c:auto val="1"/>
        <c:lblOffset val="100"/>
        <c:baseTimeUnit val="months"/>
      </c:dateAx>
      <c:valAx>
        <c:axId val="10409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9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3</xdr:row>
      <xdr:rowOff>123825</xdr:rowOff>
    </xdr:from>
    <xdr:to>
      <xdr:col>19</xdr:col>
      <xdr:colOff>428625</xdr:colOff>
      <xdr:row>8</xdr:row>
      <xdr:rowOff>57150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8A6C266C-A3B3-6F6D-A9FA-484DD78050E5}"/>
            </a:ext>
          </a:extLst>
        </xdr:cNvPr>
        <xdr:cNvSpPr txBox="1"/>
      </xdr:nvSpPr>
      <xdr:spPr>
        <a:xfrm>
          <a:off x="11163300" y="847725"/>
          <a:ext cx="2676525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Flag:</a:t>
          </a:r>
        </a:p>
        <a:p>
          <a:r>
            <a:rPr lang="en-US" altLang="zh-CN" sz="1100"/>
            <a:t>MOM &gt; +20% </a:t>
          </a:r>
          <a:r>
            <a:rPr lang="en-NZ" altLang="zh-CN"/>
            <a:t>→ </a:t>
          </a:r>
          <a:r>
            <a:rPr lang="en-NZ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RED (deterioration)</a:t>
          </a:r>
        </a:p>
        <a:p>
          <a:r>
            <a:rPr lang="en-NZ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MON &lt; -20% </a:t>
          </a:r>
          <a:r>
            <a:rPr lang="en-NZ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GREEN </a:t>
          </a:r>
          <a:r>
            <a:rPr lang="en-NZ" altLang="zh-CN"/>
            <a:t>(improvement)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638174</xdr:colOff>
      <xdr:row>17</xdr:row>
      <xdr:rowOff>19049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E69194-FDC0-4D46-8FB4-09029124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161925</xdr:rowOff>
    </xdr:from>
    <xdr:to>
      <xdr:col>8</xdr:col>
      <xdr:colOff>628650</xdr:colOff>
      <xdr:row>34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CB49DA-85D3-44E8-804D-19D1139CC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59CE3C0-9440-476B-9D96-4AFE38EFB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38100</xdr:colOff>
      <xdr:row>33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4E91D4D-A1BA-4676-B7B0-F8B3C9C40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62C8-9AB1-42D6-B438-63150228CD73}">
  <dimension ref="A1:I13"/>
  <sheetViews>
    <sheetView workbookViewId="0">
      <selection activeCell="H19" sqref="H19"/>
    </sheetView>
  </sheetViews>
  <sheetFormatPr defaultRowHeight="14.25" x14ac:dyDescent="0.4"/>
  <cols>
    <col min="1" max="1" width="8.73046875" style="1" bestFit="1" customWidth="1"/>
    <col min="2" max="2" width="11.9296875" style="1" bestFit="1" customWidth="1"/>
    <col min="3" max="3" width="9.796875" style="1" bestFit="1" customWidth="1"/>
    <col min="4" max="4" width="8.59765625" style="1" bestFit="1" customWidth="1"/>
    <col min="5" max="6" width="9.06640625" style="1"/>
    <col min="7" max="7" width="5.9296875" style="1" bestFit="1" customWidth="1"/>
    <col min="8" max="8" width="6.86328125" style="1" bestFit="1" customWidth="1"/>
    <col min="9" max="9" width="8.19921875" style="1" bestFit="1" customWidth="1"/>
    <col min="10" max="16384" width="9.06640625" style="1"/>
  </cols>
  <sheetData>
    <row r="1" spans="1:9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4">
      <c r="A2" s="3">
        <v>44927</v>
      </c>
      <c r="B2" s="1">
        <v>3010</v>
      </c>
      <c r="C2" s="1">
        <v>2394</v>
      </c>
      <c r="D2" s="1">
        <v>616</v>
      </c>
      <c r="E2" s="1">
        <v>12294375</v>
      </c>
      <c r="F2" s="1">
        <v>22738699</v>
      </c>
      <c r="G2" s="1">
        <v>145</v>
      </c>
      <c r="H2" s="1">
        <v>53</v>
      </c>
      <c r="I2" s="1">
        <v>19</v>
      </c>
    </row>
    <row r="3" spans="1:9" x14ac:dyDescent="0.4">
      <c r="A3" s="3">
        <f>EDATE(A2,1)</f>
        <v>44958</v>
      </c>
      <c r="B3" s="1">
        <v>2865</v>
      </c>
      <c r="C3" s="1">
        <v>2066</v>
      </c>
      <c r="D3" s="1">
        <v>799</v>
      </c>
      <c r="E3" s="1">
        <v>12787202</v>
      </c>
      <c r="F3" s="1">
        <v>22937749</v>
      </c>
      <c r="G3" s="1">
        <v>121</v>
      </c>
      <c r="H3" s="1">
        <v>56</v>
      </c>
      <c r="I3" s="1">
        <v>23</v>
      </c>
    </row>
    <row r="4" spans="1:9" x14ac:dyDescent="0.4">
      <c r="A4" s="3">
        <f t="shared" ref="A4:A13" si="0">EDATE(A3,1)</f>
        <v>44986</v>
      </c>
      <c r="B4" s="1">
        <v>2882</v>
      </c>
      <c r="C4" s="1">
        <v>1932</v>
      </c>
      <c r="D4" s="1">
        <v>950</v>
      </c>
      <c r="E4" s="1">
        <v>13480724</v>
      </c>
      <c r="F4" s="1">
        <v>28244788</v>
      </c>
      <c r="G4" s="1">
        <v>121</v>
      </c>
      <c r="H4" s="1">
        <v>37</v>
      </c>
      <c r="I4" s="1">
        <v>12</v>
      </c>
    </row>
    <row r="5" spans="1:9" x14ac:dyDescent="0.4">
      <c r="A5" s="3">
        <f t="shared" si="0"/>
        <v>45017</v>
      </c>
      <c r="B5" s="1">
        <v>2822</v>
      </c>
      <c r="C5" s="1">
        <v>1829</v>
      </c>
      <c r="D5" s="1">
        <v>993</v>
      </c>
      <c r="E5" s="1">
        <v>11554543</v>
      </c>
      <c r="F5" s="1">
        <v>23183016</v>
      </c>
      <c r="G5" s="1">
        <v>95</v>
      </c>
      <c r="H5" s="1">
        <v>39</v>
      </c>
      <c r="I5" s="1">
        <v>14</v>
      </c>
    </row>
    <row r="6" spans="1:9" x14ac:dyDescent="0.4">
      <c r="A6" s="3">
        <f t="shared" si="0"/>
        <v>45047</v>
      </c>
      <c r="B6" s="1">
        <v>3488</v>
      </c>
      <c r="C6" s="1">
        <v>2218</v>
      </c>
      <c r="D6" s="1">
        <v>1270</v>
      </c>
      <c r="E6" s="1">
        <v>13628088</v>
      </c>
      <c r="F6" s="1">
        <v>27403384</v>
      </c>
      <c r="G6" s="1">
        <v>133</v>
      </c>
      <c r="H6" s="1">
        <v>34</v>
      </c>
      <c r="I6" s="1">
        <v>16</v>
      </c>
    </row>
    <row r="7" spans="1:9" x14ac:dyDescent="0.4">
      <c r="A7" s="3">
        <f t="shared" si="0"/>
        <v>45078</v>
      </c>
      <c r="B7" s="1">
        <v>2598</v>
      </c>
      <c r="C7" s="1">
        <v>1902</v>
      </c>
      <c r="D7" s="1">
        <v>696</v>
      </c>
      <c r="E7" s="1">
        <v>11266339</v>
      </c>
      <c r="F7" s="1">
        <v>19278878</v>
      </c>
      <c r="G7" s="1">
        <v>128</v>
      </c>
      <c r="H7" s="1">
        <v>38</v>
      </c>
      <c r="I7" s="1">
        <v>13</v>
      </c>
    </row>
    <row r="8" spans="1:9" x14ac:dyDescent="0.4">
      <c r="A8" s="3">
        <f t="shared" si="0"/>
        <v>45108</v>
      </c>
      <c r="B8" s="1">
        <v>3242</v>
      </c>
      <c r="C8" s="1">
        <v>2139</v>
      </c>
      <c r="D8" s="1">
        <v>1103</v>
      </c>
      <c r="E8" s="1">
        <v>13886012</v>
      </c>
      <c r="F8" s="1">
        <v>24572168</v>
      </c>
      <c r="G8" s="1">
        <v>164</v>
      </c>
      <c r="H8" s="1">
        <v>54</v>
      </c>
      <c r="I8" s="1">
        <v>22</v>
      </c>
    </row>
    <row r="9" spans="1:9" x14ac:dyDescent="0.4">
      <c r="A9" s="3">
        <f t="shared" si="0"/>
        <v>45139</v>
      </c>
      <c r="B9" s="1">
        <v>2517</v>
      </c>
      <c r="C9" s="1">
        <v>1422</v>
      </c>
      <c r="D9" s="1">
        <v>1095</v>
      </c>
      <c r="E9" s="1">
        <v>12318748</v>
      </c>
      <c r="F9" s="1">
        <v>21701112</v>
      </c>
      <c r="G9" s="1">
        <v>63</v>
      </c>
      <c r="H9" s="1">
        <v>40</v>
      </c>
      <c r="I9" s="1">
        <v>14</v>
      </c>
    </row>
    <row r="10" spans="1:9" x14ac:dyDescent="0.4">
      <c r="A10" s="3">
        <f t="shared" si="0"/>
        <v>45170</v>
      </c>
      <c r="B10" s="1">
        <v>3095</v>
      </c>
      <c r="C10" s="1">
        <v>2010</v>
      </c>
      <c r="D10" s="1">
        <v>1085</v>
      </c>
      <c r="E10" s="1">
        <v>11935270</v>
      </c>
      <c r="F10" s="1">
        <v>20657978</v>
      </c>
      <c r="G10" s="1">
        <v>120</v>
      </c>
      <c r="H10" s="1">
        <v>38</v>
      </c>
      <c r="I10" s="1">
        <v>15</v>
      </c>
    </row>
    <row r="11" spans="1:9" x14ac:dyDescent="0.4">
      <c r="A11" s="3">
        <f t="shared" si="0"/>
        <v>45200</v>
      </c>
      <c r="B11" s="1">
        <v>2606</v>
      </c>
      <c r="C11" s="1">
        <v>1914</v>
      </c>
      <c r="D11" s="1">
        <v>692</v>
      </c>
      <c r="E11" s="1">
        <v>13977633</v>
      </c>
      <c r="F11" s="1">
        <v>28737263</v>
      </c>
      <c r="G11" s="1">
        <v>94</v>
      </c>
      <c r="H11" s="1">
        <v>42</v>
      </c>
      <c r="I11" s="1">
        <v>14</v>
      </c>
    </row>
    <row r="12" spans="1:9" x14ac:dyDescent="0.4">
      <c r="A12" s="3">
        <f t="shared" si="0"/>
        <v>45231</v>
      </c>
      <c r="B12" s="1">
        <v>2623</v>
      </c>
      <c r="C12" s="1">
        <v>1562</v>
      </c>
      <c r="D12" s="1">
        <v>1061</v>
      </c>
      <c r="E12" s="1">
        <v>12822933</v>
      </c>
      <c r="F12" s="1">
        <v>25647808</v>
      </c>
      <c r="G12" s="1">
        <v>90</v>
      </c>
      <c r="H12" s="1">
        <v>30</v>
      </c>
      <c r="I12" s="1">
        <v>15</v>
      </c>
    </row>
    <row r="13" spans="1:9" x14ac:dyDescent="0.4">
      <c r="A13" s="3">
        <f t="shared" si="0"/>
        <v>45261</v>
      </c>
      <c r="B13" s="1">
        <v>3069</v>
      </c>
      <c r="C13" s="1">
        <v>1823</v>
      </c>
      <c r="D13" s="1">
        <v>1246</v>
      </c>
      <c r="E13" s="1">
        <v>12977974</v>
      </c>
      <c r="F13" s="1">
        <v>25662144</v>
      </c>
      <c r="G13" s="1">
        <v>128</v>
      </c>
      <c r="H13" s="1">
        <v>50</v>
      </c>
      <c r="I13" s="1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5FD7-D571-436A-9CF9-0FBF7493A46B}">
  <dimension ref="A1:O13"/>
  <sheetViews>
    <sheetView zoomScaleNormal="100" workbookViewId="0">
      <selection activeCell="I18" sqref="I18"/>
    </sheetView>
  </sheetViews>
  <sheetFormatPr defaultRowHeight="14.25" outlineLevelCol="1" x14ac:dyDescent="0.4"/>
  <cols>
    <col min="1" max="1" width="8.46484375" style="1" bestFit="1" customWidth="1"/>
    <col min="2" max="2" width="10.59765625" style="1" bestFit="1" customWidth="1"/>
    <col min="3" max="3" width="9" style="1" customWidth="1"/>
    <col min="4" max="4" width="12.59765625" style="1" bestFit="1" customWidth="1"/>
    <col min="5" max="5" width="11.6640625" style="1" customWidth="1"/>
    <col min="6" max="7" width="11.6640625" style="1" hidden="1" customWidth="1" outlineLevel="1"/>
    <col min="8" max="8" width="12.86328125" style="1" customWidth="1" collapsed="1"/>
    <col min="9" max="9" width="12.86328125" style="1" customWidth="1"/>
    <col min="10" max="10" width="13.9296875" style="1" bestFit="1" customWidth="1"/>
    <col min="11" max="11" width="12.86328125" style="1" customWidth="1"/>
    <col min="12" max="12" width="10.06640625" style="1" bestFit="1" customWidth="1"/>
    <col min="13" max="13" width="11.265625" style="1" customWidth="1"/>
    <col min="14" max="14" width="12.06640625" style="1" bestFit="1" customWidth="1"/>
    <col min="15" max="15" width="12.33203125" style="1" customWidth="1"/>
    <col min="16" max="16384" width="9.06640625" style="1"/>
  </cols>
  <sheetData>
    <row r="1" spans="1:15" s="4" customFormat="1" ht="28.5" x14ac:dyDescent="0.4">
      <c r="A1" s="5" t="s">
        <v>10</v>
      </c>
      <c r="B1" s="5" t="s">
        <v>20</v>
      </c>
      <c r="C1" s="5" t="s">
        <v>11</v>
      </c>
      <c r="D1" s="5" t="s">
        <v>17</v>
      </c>
      <c r="E1" s="5" t="s">
        <v>12</v>
      </c>
      <c r="F1" s="5" t="s">
        <v>19</v>
      </c>
      <c r="G1" s="5" t="s">
        <v>12</v>
      </c>
      <c r="H1" s="5" t="s">
        <v>32</v>
      </c>
      <c r="I1" s="5" t="s">
        <v>33</v>
      </c>
      <c r="J1" s="5" t="s">
        <v>4</v>
      </c>
      <c r="K1" s="5" t="s">
        <v>13</v>
      </c>
      <c r="L1" s="5" t="s">
        <v>14</v>
      </c>
      <c r="M1" s="5" t="s">
        <v>15</v>
      </c>
      <c r="N1" s="5" t="s">
        <v>18</v>
      </c>
      <c r="O1" s="5" t="s">
        <v>16</v>
      </c>
    </row>
    <row r="2" spans="1:15" x14ac:dyDescent="0.4">
      <c r="A2" s="6">
        <f>'raw data'!A2</f>
        <v>44927</v>
      </c>
      <c r="B2" s="7">
        <f>'raw data'!H2/'raw data'!C2</f>
        <v>2.2138680033416874E-2</v>
      </c>
      <c r="C2" s="10"/>
      <c r="D2" s="7">
        <f>'raw data'!G2/'raw data'!C2</f>
        <v>6.0568086883876354E-2</v>
      </c>
      <c r="E2" s="10"/>
      <c r="F2" s="10">
        <f>'raw data'!H2/'raw data'!C2</f>
        <v>2.2138680033416874E-2</v>
      </c>
      <c r="G2" s="10"/>
      <c r="H2" s="10">
        <f>'raw data'!I2/'raw data'!G2</f>
        <v>0.1310344827586207</v>
      </c>
      <c r="I2" s="10"/>
      <c r="J2" s="10">
        <f>'raw data'!C2/'raw data'!B2</f>
        <v>0.79534883720930227</v>
      </c>
      <c r="K2" s="10"/>
      <c r="L2" s="10">
        <f>'raw data'!E2/'raw data'!F2</f>
        <v>0.54068066954930005</v>
      </c>
      <c r="M2" s="10"/>
      <c r="N2" s="10">
        <f>'raw data'!I2/'raw data'!C2</f>
        <v>7.9365079365079361E-3</v>
      </c>
      <c r="O2" s="10"/>
    </row>
    <row r="3" spans="1:15" x14ac:dyDescent="0.4">
      <c r="A3" s="6">
        <f>'raw data'!A3</f>
        <v>44958</v>
      </c>
      <c r="B3" s="7">
        <f>'raw data'!H3/'raw data'!C3</f>
        <v>2.7105517909002903E-2</v>
      </c>
      <c r="C3" s="10">
        <f>B3/B2-1</f>
        <v>0.22435112970099924</v>
      </c>
      <c r="D3" s="7">
        <f>'raw data'!G3/'raw data'!C3</f>
        <v>5.8567279767666992E-2</v>
      </c>
      <c r="E3" s="10">
        <f>D3/D2-1</f>
        <v>-3.3034015422104934E-2</v>
      </c>
      <c r="F3" s="10">
        <f>'raw data'!H3/'raw data'!C3</f>
        <v>2.7105517909002903E-2</v>
      </c>
      <c r="G3" s="10">
        <f>F3/F2-1</f>
        <v>0.22435112970099924</v>
      </c>
      <c r="H3" s="10">
        <f>'raw data'!I3/'raw data'!G3</f>
        <v>0.19008264462809918</v>
      </c>
      <c r="I3" s="10"/>
      <c r="J3" s="10">
        <f>'raw data'!C3/'raw data'!B3</f>
        <v>0.72111692844677133</v>
      </c>
      <c r="K3" s="10">
        <f>J3/J2-1</f>
        <v>-9.3332516865170523E-2</v>
      </c>
      <c r="L3" s="10">
        <f>'raw data'!E3/'raw data'!F3</f>
        <v>0.55747414447686217</v>
      </c>
      <c r="M3" s="10">
        <f>L3/L2-1</f>
        <v>3.1059876694983002E-2</v>
      </c>
      <c r="N3" s="10">
        <f>'raw data'!I3/'raw data'!C3</f>
        <v>1.1132623426911906E-2</v>
      </c>
      <c r="O3" s="10">
        <f>N3/N2-1</f>
        <v>0.40271055179090021</v>
      </c>
    </row>
    <row r="4" spans="1:15" x14ac:dyDescent="0.4">
      <c r="A4" s="6">
        <f>'raw data'!A4</f>
        <v>44986</v>
      </c>
      <c r="B4" s="7">
        <f>'raw data'!H4/'raw data'!C4</f>
        <v>1.9151138716356108E-2</v>
      </c>
      <c r="C4" s="10">
        <f>B4/B3-1</f>
        <v>-0.29345977521443356</v>
      </c>
      <c r="D4" s="7">
        <f>'raw data'!G4/'raw data'!C4</f>
        <v>6.2629399585921328E-2</v>
      </c>
      <c r="E4" s="10">
        <f>D4/D3-1</f>
        <v>6.9358178053830155E-2</v>
      </c>
      <c r="F4" s="10">
        <f>'raw data'!H4/'raw data'!C4</f>
        <v>1.9151138716356108E-2</v>
      </c>
      <c r="G4" s="10">
        <f>F4/F3-1</f>
        <v>-0.29345977521443356</v>
      </c>
      <c r="H4" s="10">
        <f>'raw data'!I4/'raw data'!G4</f>
        <v>9.9173553719008267E-2</v>
      </c>
      <c r="I4" s="10"/>
      <c r="J4" s="10">
        <f>'raw data'!C4/'raw data'!B4</f>
        <v>0.67036780013879249</v>
      </c>
      <c r="K4" s="10">
        <f>J4/J3-1</f>
        <v>-7.0375727300270752E-2</v>
      </c>
      <c r="L4" s="10">
        <f>'raw data'!E4/'raw data'!F4</f>
        <v>0.47728182629658966</v>
      </c>
      <c r="M4" s="10">
        <f>L4/L3-1</f>
        <v>-0.14384939458587009</v>
      </c>
      <c r="N4" s="10">
        <f>'raw data'!I4/'raw data'!C4</f>
        <v>6.2111801242236021E-3</v>
      </c>
      <c r="O4" s="10">
        <f>N4/N3-1</f>
        <v>-0.44207399405887116</v>
      </c>
    </row>
    <row r="5" spans="1:15" x14ac:dyDescent="0.4">
      <c r="A5" s="6">
        <f>'raw data'!A5</f>
        <v>45017</v>
      </c>
      <c r="B5" s="7">
        <f>'raw data'!H5/'raw data'!C5</f>
        <v>2.1323127392017496E-2</v>
      </c>
      <c r="C5" s="10">
        <f>B5/B4-1</f>
        <v>0.11341303030750804</v>
      </c>
      <c r="D5" s="7">
        <f>'raw data'!G5/'raw data'!C5</f>
        <v>5.1940951339529799E-2</v>
      </c>
      <c r="E5" s="10">
        <f>D5/D4-1</f>
        <v>-0.17066183481015229</v>
      </c>
      <c r="F5" s="10">
        <f>'raw data'!H5/'raw data'!C5</f>
        <v>2.1323127392017496E-2</v>
      </c>
      <c r="G5" s="10">
        <f>F5/F4-1</f>
        <v>0.11341303030750804</v>
      </c>
      <c r="H5" s="10">
        <f>'raw data'!I5/'raw data'!G5</f>
        <v>0.14736842105263157</v>
      </c>
      <c r="I5" s="10"/>
      <c r="J5" s="10">
        <f>'raw data'!C5/'raw data'!B5</f>
        <v>0.64812189936215447</v>
      </c>
      <c r="K5" s="10">
        <f>J5/J4-1</f>
        <v>-3.3184620102624574E-2</v>
      </c>
      <c r="L5" s="10">
        <f>'raw data'!E5/'raw data'!F5</f>
        <v>0.49840551376059095</v>
      </c>
      <c r="M5" s="10">
        <f>L5/L4-1</f>
        <v>4.4258310918536159E-2</v>
      </c>
      <c r="N5" s="10">
        <f>'raw data'!I5/'raw data'!C5</f>
        <v>7.654455986878075E-3</v>
      </c>
      <c r="O5" s="10">
        <f>N5/N4-1</f>
        <v>0.23236741388737014</v>
      </c>
    </row>
    <row r="6" spans="1:15" x14ac:dyDescent="0.4">
      <c r="A6" s="6">
        <f>'raw data'!A6</f>
        <v>45047</v>
      </c>
      <c r="B6" s="7">
        <f>'raw data'!H6/'raw data'!C6</f>
        <v>1.5329125338142471E-2</v>
      </c>
      <c r="C6" s="10">
        <f>B6/B5-1</f>
        <v>-0.28110332709070307</v>
      </c>
      <c r="D6" s="7">
        <f>'raw data'!G6/'raw data'!C6</f>
        <v>5.9963931469792606E-2</v>
      </c>
      <c r="E6" s="10">
        <f>D6/D5-1</f>
        <v>0.15446348061316506</v>
      </c>
      <c r="F6" s="10">
        <f>'raw data'!H6/'raw data'!C6</f>
        <v>1.5329125338142471E-2</v>
      </c>
      <c r="G6" s="10">
        <f>F6/F5-1</f>
        <v>-0.28110332709070307</v>
      </c>
      <c r="H6" s="10">
        <f>'raw data'!I6/'raw data'!G6</f>
        <v>0.12030075187969924</v>
      </c>
      <c r="I6" s="10"/>
      <c r="J6" s="10">
        <f>'raw data'!C6/'raw data'!B6</f>
        <v>0.63589449541284404</v>
      </c>
      <c r="K6" s="10">
        <f>J6/J5-1</f>
        <v>-1.8865901555469633E-2</v>
      </c>
      <c r="L6" s="10">
        <f>'raw data'!E6/'raw data'!F6</f>
        <v>0.49731405435182752</v>
      </c>
      <c r="M6" s="10">
        <f>L6/L5-1</f>
        <v>-2.1899023558710207E-3</v>
      </c>
      <c r="N6" s="10">
        <f>'raw data'!I6/'raw data'!C6</f>
        <v>7.2137060414788094E-3</v>
      </c>
      <c r="O6" s="10">
        <f>N6/N5-1</f>
        <v>-5.7580832152518302E-2</v>
      </c>
    </row>
    <row r="7" spans="1:15" x14ac:dyDescent="0.4">
      <c r="A7" s="6">
        <f>'raw data'!A7</f>
        <v>45078</v>
      </c>
      <c r="B7" s="7">
        <f>'raw data'!H7/'raw data'!C7</f>
        <v>1.9978969505783387E-2</v>
      </c>
      <c r="C7" s="10">
        <f>B7/B6-1</f>
        <v>0.30333395187728085</v>
      </c>
      <c r="D7" s="7">
        <f>'raw data'!G7/'raw data'!C7</f>
        <v>6.7297581493165087E-2</v>
      </c>
      <c r="E7" s="10">
        <f>D7/D6-1</f>
        <v>0.12230102069052751</v>
      </c>
      <c r="F7" s="10">
        <f>'raw data'!H7/'raw data'!C7</f>
        <v>1.9978969505783387E-2</v>
      </c>
      <c r="G7" s="10">
        <f>F7/F6-1</f>
        <v>0.30333395187728085</v>
      </c>
      <c r="H7" s="10">
        <f>'raw data'!I7/'raw data'!G7</f>
        <v>0.1015625</v>
      </c>
      <c r="I7" s="10"/>
      <c r="J7" s="10">
        <f>'raw data'!C7/'raw data'!B7</f>
        <v>0.73210161662817552</v>
      </c>
      <c r="K7" s="10">
        <f>J7/J6-1</f>
        <v>0.15129415635666188</v>
      </c>
      <c r="L7" s="10">
        <f>'raw data'!E7/'raw data'!F7</f>
        <v>0.58438769102641763</v>
      </c>
      <c r="M7" s="10">
        <f>L7/L6-1</f>
        <v>0.17508782611840168</v>
      </c>
      <c r="N7" s="10">
        <f>'raw data'!I7/'raw data'!C7</f>
        <v>6.8349106203995794E-3</v>
      </c>
      <c r="O7" s="10">
        <f>N7/N6-1</f>
        <v>-5.2510515247108258E-2</v>
      </c>
    </row>
    <row r="8" spans="1:15" x14ac:dyDescent="0.4">
      <c r="A8" s="6">
        <f>'raw data'!A8</f>
        <v>45108</v>
      </c>
      <c r="B8" s="7">
        <f>'raw data'!H8/'raw data'!C8</f>
        <v>2.5245441795231416E-2</v>
      </c>
      <c r="C8" s="10">
        <f>B8/B7-1</f>
        <v>0.2636007972244776</v>
      </c>
      <c r="D8" s="7">
        <f>'raw data'!G8/'raw data'!C8</f>
        <v>7.6671341748480601E-2</v>
      </c>
      <c r="E8" s="10">
        <f>D8/D7-1</f>
        <v>0.13928821879382891</v>
      </c>
      <c r="F8" s="10">
        <f>'raw data'!H8/'raw data'!C8</f>
        <v>2.5245441795231416E-2</v>
      </c>
      <c r="G8" s="10">
        <f>F8/F7-1</f>
        <v>0.2636007972244776</v>
      </c>
      <c r="H8" s="10">
        <f>'raw data'!I8/'raw data'!G8</f>
        <v>0.13414634146341464</v>
      </c>
      <c r="I8" s="10"/>
      <c r="J8" s="10">
        <f>'raw data'!C8/'raw data'!B8</f>
        <v>0.65977791486736581</v>
      </c>
      <c r="K8" s="10">
        <f>J8/J7-1</f>
        <v>-9.8789157294733809E-2</v>
      </c>
      <c r="L8" s="10">
        <f>'raw data'!E8/'raw data'!F8</f>
        <v>0.56511138943865269</v>
      </c>
      <c r="M8" s="10">
        <f>L8/L7-1</f>
        <v>-3.2985468181076949E-2</v>
      </c>
      <c r="N8" s="10">
        <f>'raw data'!I8/'raw data'!C8</f>
        <v>1.0285179990649837E-2</v>
      </c>
      <c r="O8" s="10">
        <f>N8/N7-1</f>
        <v>0.50480094940122999</v>
      </c>
    </row>
    <row r="9" spans="1:15" x14ac:dyDescent="0.4">
      <c r="A9" s="6">
        <f>'raw data'!A9</f>
        <v>45139</v>
      </c>
      <c r="B9" s="7">
        <f>'raw data'!H9/'raw data'!C9</f>
        <v>2.8129395218002812E-2</v>
      </c>
      <c r="C9" s="10">
        <f>B9/B8-1</f>
        <v>0.11423659946866693</v>
      </c>
      <c r="D9" s="7">
        <f>'raw data'!G9/'raw data'!C9</f>
        <v>4.4303797468354431E-2</v>
      </c>
      <c r="E9" s="10">
        <f>D9/D8-1</f>
        <v>-0.42215961716579198</v>
      </c>
      <c r="F9" s="10">
        <f>'raw data'!H9/'raw data'!C9</f>
        <v>2.8129395218002812E-2</v>
      </c>
      <c r="G9" s="10">
        <f>F9/F8-1</f>
        <v>0.11423659946866693</v>
      </c>
      <c r="H9" s="10">
        <f>'raw data'!I9/'raw data'!G9</f>
        <v>0.22222222222222221</v>
      </c>
      <c r="I9" s="10"/>
      <c r="J9" s="10">
        <f>'raw data'!C9/'raw data'!B9</f>
        <v>0.56495828367103695</v>
      </c>
      <c r="K9" s="10">
        <f>J9/J8-1</f>
        <v>-0.14371446673141564</v>
      </c>
      <c r="L9" s="10">
        <f>'raw data'!E9/'raw data'!F9</f>
        <v>0.56765515057477234</v>
      </c>
      <c r="M9" s="10">
        <f>L9/L8-1</f>
        <v>4.5013446617072628E-3</v>
      </c>
      <c r="N9" s="10">
        <f>'raw data'!I9/'raw data'!C9</f>
        <v>9.8452883263009851E-3</v>
      </c>
      <c r="O9" s="10">
        <f>N9/N8-1</f>
        <v>-4.2769466820099744E-2</v>
      </c>
    </row>
    <row r="10" spans="1:15" x14ac:dyDescent="0.4">
      <c r="A10" s="6">
        <f>'raw data'!A10</f>
        <v>45170</v>
      </c>
      <c r="B10" s="7">
        <f>'raw data'!H10/'raw data'!C10</f>
        <v>1.8905472636815919E-2</v>
      </c>
      <c r="C10" s="10">
        <f>B10/B9-1</f>
        <v>-0.32791044776119405</v>
      </c>
      <c r="D10" s="7">
        <f>'raw data'!G10/'raw data'!C10</f>
        <v>5.9701492537313432E-2</v>
      </c>
      <c r="E10" s="10">
        <f>D10/D9-1</f>
        <v>0.34754797441364604</v>
      </c>
      <c r="F10" s="10">
        <f>'raw data'!H10/'raw data'!C10</f>
        <v>1.8905472636815919E-2</v>
      </c>
      <c r="G10" s="10">
        <f>F10/F9-1</f>
        <v>-0.32791044776119405</v>
      </c>
      <c r="H10" s="10">
        <f>'raw data'!I10/'raw data'!G10</f>
        <v>0.125</v>
      </c>
      <c r="I10" s="10"/>
      <c r="J10" s="10">
        <f>'raw data'!C10/'raw data'!B10</f>
        <v>0.64943457189014542</v>
      </c>
      <c r="K10" s="10">
        <f>J10/J9-1</f>
        <v>0.14952659454816875</v>
      </c>
      <c r="L10" s="10">
        <f>'raw data'!E10/'raw data'!F10</f>
        <v>0.57775596430589671</v>
      </c>
      <c r="M10" s="10">
        <f>L10/L9-1</f>
        <v>1.7793925979350256E-2</v>
      </c>
      <c r="N10" s="10">
        <f>'raw data'!I10/'raw data'!C10</f>
        <v>7.462686567164179E-3</v>
      </c>
      <c r="O10" s="10">
        <f>N10/N9-1</f>
        <v>-0.24200426439232414</v>
      </c>
    </row>
    <row r="11" spans="1:15" x14ac:dyDescent="0.4">
      <c r="A11" s="6">
        <f>'raw data'!A11</f>
        <v>45200</v>
      </c>
      <c r="B11" s="7">
        <f>'raw data'!H11/'raw data'!C11</f>
        <v>2.1943573667711599E-2</v>
      </c>
      <c r="C11" s="10">
        <f>B11/B10-1</f>
        <v>0.16069955452895579</v>
      </c>
      <c r="D11" s="7">
        <f>'raw data'!G11/'raw data'!C11</f>
        <v>4.911180773249739E-2</v>
      </c>
      <c r="E11" s="10">
        <f>D11/D10-1</f>
        <v>-0.17737722048066873</v>
      </c>
      <c r="F11" s="10">
        <f>'raw data'!H11/'raw data'!C11</f>
        <v>2.1943573667711599E-2</v>
      </c>
      <c r="G11" s="10">
        <f>F11/F10-1</f>
        <v>0.16069955452895579</v>
      </c>
      <c r="H11" s="10">
        <f>'raw data'!I11/'raw data'!G11</f>
        <v>0.14893617021276595</v>
      </c>
      <c r="I11" s="10"/>
      <c r="J11" s="10">
        <f>'raw data'!C11/'raw data'!B11</f>
        <v>0.73445894090560249</v>
      </c>
      <c r="K11" s="10">
        <f>J11/J10-1</f>
        <v>0.13092060801136296</v>
      </c>
      <c r="L11" s="10">
        <f>'raw data'!E11/'raw data'!F11</f>
        <v>0.48639402437177126</v>
      </c>
      <c r="M11" s="10">
        <f>L11/L10-1</f>
        <v>-0.15813240464576717</v>
      </c>
      <c r="N11" s="10">
        <f>'raw data'!I11/'raw data'!C11</f>
        <v>7.3145245559038665E-3</v>
      </c>
      <c r="O11" s="10">
        <f>N11/N10-1</f>
        <v>-1.9853709508881878E-2</v>
      </c>
    </row>
    <row r="12" spans="1:15" x14ac:dyDescent="0.4">
      <c r="A12" s="6">
        <f>'raw data'!A12</f>
        <v>45231</v>
      </c>
      <c r="B12" s="7">
        <f>'raw data'!H12/'raw data'!C12</f>
        <v>1.9206145966709345E-2</v>
      </c>
      <c r="C12" s="10">
        <f>B12/B11-1</f>
        <v>-0.12474849094567408</v>
      </c>
      <c r="D12" s="7">
        <f>'raw data'!G12/'raw data'!C12</f>
        <v>5.7618437900128043E-2</v>
      </c>
      <c r="E12" s="10">
        <f>D12/D11-1</f>
        <v>0.17320946958345829</v>
      </c>
      <c r="F12" s="10">
        <f>'raw data'!H12/'raw data'!C12</f>
        <v>1.9206145966709345E-2</v>
      </c>
      <c r="G12" s="10">
        <f>F12/F11-1</f>
        <v>-0.12474849094567408</v>
      </c>
      <c r="H12" s="10">
        <f>'raw data'!I12/'raw data'!G12</f>
        <v>0.16666666666666666</v>
      </c>
      <c r="I12" s="10"/>
      <c r="J12" s="10">
        <f>'raw data'!C12/'raw data'!B12</f>
        <v>0.59550133434998098</v>
      </c>
      <c r="K12" s="10">
        <f>J12/J11-1</f>
        <v>-0.1891972427815829</v>
      </c>
      <c r="L12" s="10">
        <f>'raw data'!E12/'raw data'!F12</f>
        <v>0.49996214101415604</v>
      </c>
      <c r="M12" s="10">
        <f>L12/L11-1</f>
        <v>2.7895319355350612E-2</v>
      </c>
      <c r="N12" s="10">
        <f>'raw data'!I12/'raw data'!C12</f>
        <v>9.6030729833546727E-3</v>
      </c>
      <c r="O12" s="10">
        <f>N12/N11-1</f>
        <v>0.31287726358148871</v>
      </c>
    </row>
    <row r="13" spans="1:15" x14ac:dyDescent="0.4">
      <c r="A13" s="6">
        <f>'raw data'!A13</f>
        <v>45261</v>
      </c>
      <c r="B13" s="7">
        <f>'raw data'!H13/'raw data'!C13</f>
        <v>2.7427317608337904E-2</v>
      </c>
      <c r="C13" s="10">
        <f>B13/B12-1</f>
        <v>0.42804900347412689</v>
      </c>
      <c r="D13" s="7">
        <f>'raw data'!G13/'raw data'!C13</f>
        <v>7.0213933077345039E-2</v>
      </c>
      <c r="E13" s="10">
        <f>D13/D12-1</f>
        <v>0.21860181629792175</v>
      </c>
      <c r="F13" s="10">
        <f>'raw data'!H13/'raw data'!C13</f>
        <v>2.7427317608337904E-2</v>
      </c>
      <c r="G13" s="10">
        <f>F13/F12-1</f>
        <v>0.42804900347412689</v>
      </c>
      <c r="H13" s="10">
        <f>'raw data'!I13/'raw data'!G13</f>
        <v>0.1953125</v>
      </c>
      <c r="I13" s="10"/>
      <c r="J13" s="10">
        <f>'raw data'!C13/'raw data'!B13</f>
        <v>0.59400456174649718</v>
      </c>
      <c r="K13" s="10">
        <f>J13/J12-1</f>
        <v>-2.5134664141728269E-3</v>
      </c>
      <c r="L13" s="10">
        <f>'raw data'!E13/'raw data'!F13</f>
        <v>0.5057244632404837</v>
      </c>
      <c r="M13" s="10">
        <f>L13/L12-1</f>
        <v>1.1525517141435904E-2</v>
      </c>
      <c r="N13" s="10">
        <f>'raw data'!I13/'raw data'!C13</f>
        <v>1.3713658804168952E-2</v>
      </c>
      <c r="O13" s="10">
        <f>N13/N12-1</f>
        <v>0.42804900347412689</v>
      </c>
    </row>
  </sheetData>
  <autoFilter ref="A1:O1" xr:uid="{0C385FD7-D571-436A-9CF9-0FBF7493A46B}"/>
  <phoneticPr fontId="2" type="noConversion"/>
  <conditionalFormatting sqref="C2:C13">
    <cfRule type="cellIs" dxfId="12" priority="15" operator="greaterThan">
      <formula>0.2</formula>
    </cfRule>
    <cfRule type="cellIs" dxfId="13" priority="14" operator="lessThan">
      <formula>-0.2</formula>
    </cfRule>
    <cfRule type="cellIs" dxfId="14" priority="13" operator="lessThan">
      <formula>0</formula>
    </cfRule>
  </conditionalFormatting>
  <conditionalFormatting sqref="E2:E13">
    <cfRule type="cellIs" dxfId="9" priority="10" operator="lessThan">
      <formula>0</formula>
    </cfRule>
    <cfRule type="cellIs" dxfId="10" priority="11" operator="lessThan">
      <formula>-0.2</formula>
    </cfRule>
    <cfRule type="cellIs" dxfId="11" priority="12" operator="greaterThan">
      <formula>0.2</formula>
    </cfRule>
  </conditionalFormatting>
  <conditionalFormatting sqref="K2:K13">
    <cfRule type="cellIs" dxfId="6" priority="7" operator="lessThan">
      <formula>0</formula>
    </cfRule>
    <cfRule type="cellIs" dxfId="7" priority="8" operator="lessThan">
      <formula>-0.2</formula>
    </cfRule>
    <cfRule type="cellIs" dxfId="8" priority="9" operator="greaterThan">
      <formula>0.2</formula>
    </cfRule>
  </conditionalFormatting>
  <conditionalFormatting sqref="M2:M13">
    <cfRule type="cellIs" dxfId="3" priority="4" operator="lessThan">
      <formula>0</formula>
    </cfRule>
    <cfRule type="cellIs" dxfId="4" priority="5" operator="lessThan">
      <formula>-0.2</formula>
    </cfRule>
    <cfRule type="cellIs" dxfId="5" priority="6" operator="greaterThan">
      <formula>0.2</formula>
    </cfRule>
  </conditionalFormatting>
  <conditionalFormatting sqref="O2:O13">
    <cfRule type="cellIs" dxfId="0" priority="1" operator="lessThan">
      <formula>0</formula>
    </cfRule>
    <cfRule type="cellIs" dxfId="1" priority="2" operator="lessThan">
      <formula>-0.2</formula>
    </cfRule>
    <cfRule type="cellIs" dxfId="2" priority="3" operator="greaterThan">
      <formula>0.2</formula>
    </cfRule>
  </conditionalFormatting>
  <pageMargins left="0.7" right="0.7" top="0.75" bottom="0.75" header="0.3" footer="0.3"/>
  <ignoredErrors>
    <ignoredError sqref="D3:D13 J3:J13 L3:L13 N3:N13 F3: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BCA9-523E-4D43-AFFC-88518DE59A8B}">
  <dimension ref="A1"/>
  <sheetViews>
    <sheetView tabSelected="1" workbookViewId="0">
      <selection activeCell="S31" sqref="S31"/>
    </sheetView>
  </sheetViews>
  <sheetFormatPr defaultRowHeight="13.9" x14ac:dyDescent="0.4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BD74-2F87-49E5-B3B4-8DA1EB024D8C}">
  <dimension ref="A1:B10"/>
  <sheetViews>
    <sheetView workbookViewId="0">
      <selection activeCell="A7" sqref="A7"/>
    </sheetView>
  </sheetViews>
  <sheetFormatPr defaultRowHeight="14.25" x14ac:dyDescent="0.4"/>
  <cols>
    <col min="1" max="1" width="12.33203125" style="1" bestFit="1" customWidth="1"/>
    <col min="2" max="2" width="38.59765625" style="1" bestFit="1" customWidth="1"/>
    <col min="3" max="16384" width="9.06640625" style="1"/>
  </cols>
  <sheetData>
    <row r="1" spans="1:2" x14ac:dyDescent="0.4">
      <c r="A1" s="8" t="s">
        <v>21</v>
      </c>
      <c r="B1" s="8" t="s">
        <v>22</v>
      </c>
    </row>
    <row r="2" spans="1:2" x14ac:dyDescent="0.4">
      <c r="A2" s="9" t="s">
        <v>0</v>
      </c>
      <c r="B2" s="9" t="s">
        <v>31</v>
      </c>
    </row>
    <row r="3" spans="1:2" x14ac:dyDescent="0.4">
      <c r="A3" s="9" t="s">
        <v>1</v>
      </c>
      <c r="B3" s="9" t="s">
        <v>23</v>
      </c>
    </row>
    <row r="4" spans="1:2" x14ac:dyDescent="0.4">
      <c r="A4" s="9" t="s">
        <v>2</v>
      </c>
      <c r="B4" s="9" t="s">
        <v>24</v>
      </c>
    </row>
    <row r="5" spans="1:2" x14ac:dyDescent="0.4">
      <c r="A5" s="9" t="s">
        <v>3</v>
      </c>
      <c r="B5" s="9" t="s">
        <v>25</v>
      </c>
    </row>
    <row r="6" spans="1:2" x14ac:dyDescent="0.4">
      <c r="A6" s="9" t="s">
        <v>5</v>
      </c>
      <c r="B6" s="9" t="s">
        <v>26</v>
      </c>
    </row>
    <row r="7" spans="1:2" x14ac:dyDescent="0.4">
      <c r="A7" s="9" t="s">
        <v>6</v>
      </c>
      <c r="B7" s="9" t="s">
        <v>27</v>
      </c>
    </row>
    <row r="8" spans="1:2" x14ac:dyDescent="0.4">
      <c r="A8" s="9" t="s">
        <v>7</v>
      </c>
      <c r="B8" s="9" t="s">
        <v>28</v>
      </c>
    </row>
    <row r="9" spans="1:2" x14ac:dyDescent="0.4">
      <c r="A9" s="9" t="s">
        <v>8</v>
      </c>
      <c r="B9" s="9" t="s">
        <v>29</v>
      </c>
    </row>
    <row r="10" spans="1:2" x14ac:dyDescent="0.4">
      <c r="A10" s="9" t="s">
        <v>9</v>
      </c>
      <c r="B10" s="9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master</vt:lpstr>
      <vt:lpstr>MOM risk movement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Eilin 10</dc:creator>
  <cp:lastModifiedBy>Eilin 10</cp:lastModifiedBy>
  <dcterms:created xsi:type="dcterms:W3CDTF">2025-11-29T07:53:27Z</dcterms:created>
  <dcterms:modified xsi:type="dcterms:W3CDTF">2025-11-30T09:19:08Z</dcterms:modified>
</cp:coreProperties>
</file>